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fileSharing readOnlyRecommended="1" userName="Toshiba" algorithmName="SHA-512" hashValue="4jkERpGaX6VH9RpR0QTUr3GSM43Fe96AxkOe87jK7GW3MEuvshGZK08f513fyy1lKoFxcNW3vUEiYOAcY0rZgQ==" saltValue="/SSkhhlIfod26yzpjEfijg==" spinCount="100000"/>
  <workbookPr codeName="ThisWorkbook"/>
  <mc:AlternateContent xmlns:mc="http://schemas.openxmlformats.org/markup-compatibility/2006">
    <mc:Choice Requires="x15">
      <x15ac:absPath xmlns:x15ac="http://schemas.microsoft.com/office/spreadsheetml/2010/11/ac" url="D:\Upwork Portforlio Projects\Invoice Mgmt SW\"/>
    </mc:Choice>
  </mc:AlternateContent>
  <xr:revisionPtr revIDLastSave="0" documentId="8_{DAA4A84F-A37D-4F1E-B63A-09D0C442908B}" xr6:coauthVersionLast="47" xr6:coauthVersionMax="47" xr10:uidLastSave="{00000000-0000-0000-0000-000000000000}"/>
  <bookViews>
    <workbookView xWindow="-108" yWindow="-108" windowWidth="23256" windowHeight="12576" tabRatio="806" xr2:uid="{00000000-000D-0000-FFFF-FFFF00000000}"/>
  </bookViews>
  <sheets>
    <sheet name="Setting" sheetId="1" r:id="rId1"/>
    <sheet name="Product_Master" sheetId="2" state="hidden" r:id="rId2"/>
    <sheet name="Sales" sheetId="3" state="hidden" r:id="rId3"/>
    <sheet name="Inventory" sheetId="7" state="hidden" r:id="rId4"/>
    <sheet name="Sales_Display" sheetId="9" state="hidden" r:id="rId5"/>
    <sheet name="Data" sheetId="4" state="hidden" r:id="rId6"/>
    <sheet name="Report" sheetId="8" state="hidden" r:id="rId7"/>
    <sheet name="Invoice" sheetId="5" state="hidden" r:id="rId8"/>
  </sheets>
  <definedNames>
    <definedName name="_xlnm._FilterDatabase" localSheetId="2" hidden="1">Sales!$A$1:$H$15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5" i="8" l="1"/>
  <c r="C6" i="8"/>
  <c r="C7" i="8"/>
  <c r="B29" i="5"/>
  <c r="E29" i="5"/>
  <c r="C9" i="8" l="1"/>
  <c r="C8" i="8"/>
</calcChain>
</file>

<file path=xl/sharedStrings.xml><?xml version="1.0" encoding="utf-8"?>
<sst xmlns="http://schemas.openxmlformats.org/spreadsheetml/2006/main" count="114" uniqueCount="33">
  <si>
    <t>Date</t>
  </si>
  <si>
    <t>Product Name</t>
  </si>
  <si>
    <t>Qty</t>
  </si>
  <si>
    <t>Total</t>
  </si>
  <si>
    <t>Product ID</t>
  </si>
  <si>
    <t>Sale Price</t>
  </si>
  <si>
    <t>Invoice No</t>
  </si>
  <si>
    <t>Items</t>
  </si>
  <si>
    <t>G. Total (Rs)</t>
  </si>
  <si>
    <t>Market Price</t>
  </si>
  <si>
    <t>Aval Stocks</t>
  </si>
  <si>
    <t>Stocks Value</t>
  </si>
  <si>
    <t>Trans Type</t>
  </si>
  <si>
    <t>Amount</t>
  </si>
  <si>
    <t>Rate</t>
  </si>
  <si>
    <t>Profit</t>
  </si>
  <si>
    <t>Start Date</t>
  </si>
  <si>
    <t>End Date</t>
  </si>
  <si>
    <t>Type</t>
  </si>
  <si>
    <t>Purchase</t>
  </si>
  <si>
    <t>Sale</t>
  </si>
  <si>
    <t>Inventory Quantity</t>
  </si>
  <si>
    <t>Inventory Value</t>
  </si>
  <si>
    <t>School Souvenir Shop
School of Artillery
Nowshera Cantt</t>
  </si>
  <si>
    <t>Gel Pen</t>
  </si>
  <si>
    <t>Eraser</t>
  </si>
  <si>
    <t>Wooden Shield SOA</t>
  </si>
  <si>
    <t>Ser</t>
  </si>
  <si>
    <t>NA</t>
  </si>
  <si>
    <t>Amount Paid (Rs)</t>
  </si>
  <si>
    <t>Change</t>
  </si>
  <si>
    <t>3500</t>
  </si>
  <si>
    <t>Invoice Mgmt Sys (IMS)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</si>
</sst>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1"/>
      <color theme="1"/>
      <name val="Calibri"/>
      <family val="2"/>
      <scheme val="minor"/>
    </font>
    <font>
      <b/>
      <sz val="10"/>
      <color indexed="9"/>
      <name val="Calibri"/>
      <family val="2"/>
      <scheme val="minor"/>
    </font>
    <font>
      <b/>
      <sz val="9"/>
      <color indexed="9"/>
      <name val="Calibri"/>
      <family val="2"/>
      <scheme val="minor"/>
    </font>
    <font>
      <sz val="20"/>
      <color theme="0"/>
      <name val="ADLaM Display"/>
    </font>
    <font>
      <sz val="16"/>
      <color indexed="8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1"/>
      <color indexed="9"/>
      <name val="Calibri"/>
      <family val="2"/>
      <scheme val="minor"/>
    </font>
    <font>
      <sz val="10"/>
      <color indexed="8"/>
      <name val="Calibri"/>
      <family val="2"/>
      <scheme val="minor"/>
    </font>
    <font>
      <b/>
      <sz val="22"/>
      <color theme="1"/>
      <name val="Arial Rounded MT Bold"/>
      <family val="2"/>
    </font>
    <font>
      <b/>
      <sz val="18"/>
      <color indexed="8"/>
      <name val="Calibri"/>
      <family val="2"/>
      <scheme val="minor"/>
    </font>
    <font>
      <sz val="18"/>
      <color indexed="8"/>
      <name val="Calibri"/>
      <family val="2"/>
      <scheme val="minor"/>
    </font>
    <font>
      <sz val="18"/>
      <color theme="1"/>
      <name val="Calibri"/>
      <family val="2"/>
      <scheme val="minor"/>
    </font>
    <font>
      <sz val="10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indexed="3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1C7472"/>
        <bgColor indexed="64"/>
      </patternFill>
    </fill>
    <fill>
      <patternFill patternType="solid">
        <fgColor theme="7"/>
        <bgColor indexed="64"/>
      </patternFill>
    </fill>
  </fills>
  <borders count="21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22"/>
      </right>
      <top style="thin">
        <color indexed="22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64"/>
      </bottom>
      <diagonal/>
    </border>
    <border>
      <left style="thin">
        <color indexed="22"/>
      </left>
      <right style="thin">
        <color indexed="64"/>
      </right>
      <top style="thin">
        <color indexed="22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/>
      <bottom/>
      <diagonal/>
    </border>
  </borders>
  <cellStyleXfs count="1">
    <xf numFmtId="0" fontId="0" fillId="0" borderId="0"/>
  </cellStyleXfs>
  <cellXfs count="42">
    <xf numFmtId="0" fontId="0" fillId="0" borderId="0" xfId="0"/>
    <xf numFmtId="0" fontId="1" fillId="2" borderId="1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0" fillId="0" borderId="7" xfId="0" applyBorder="1"/>
    <xf numFmtId="0" fontId="0" fillId="0" borderId="8" xfId="0" applyBorder="1"/>
    <xf numFmtId="14" fontId="0" fillId="0" borderId="0" xfId="0" applyNumberFormat="1"/>
    <xf numFmtId="0" fontId="4" fillId="0" borderId="0" xfId="0" applyFont="1" applyAlignment="1">
      <alignment horizontal="center" vertical="center"/>
    </xf>
    <xf numFmtId="0" fontId="5" fillId="0" borderId="0" xfId="0" applyFont="1"/>
    <xf numFmtId="0" fontId="1" fillId="2" borderId="20" xfId="0" applyFont="1" applyFill="1" applyBorder="1" applyAlignment="1">
      <alignment horizontal="center" vertical="center"/>
    </xf>
    <xf numFmtId="0" fontId="2" fillId="2" borderId="20" xfId="0" applyFont="1" applyFill="1" applyBorder="1" applyAlignment="1">
      <alignment horizontal="center" vertical="center"/>
    </xf>
    <xf numFmtId="15" fontId="0" fillId="6" borderId="0" xfId="0" applyNumberFormat="1" applyFill="1" applyAlignment="1">
      <alignment horizontal="center"/>
    </xf>
    <xf numFmtId="15" fontId="0" fillId="0" borderId="0" xfId="0" applyNumberFormat="1" applyAlignment="1">
      <alignment horizontal="center"/>
    </xf>
    <xf numFmtId="0" fontId="6" fillId="2" borderId="2" xfId="0" applyFont="1" applyFill="1" applyBorder="1" applyAlignment="1">
      <alignment horizontal="center" vertical="center"/>
    </xf>
    <xf numFmtId="0" fontId="7" fillId="0" borderId="2" xfId="0" applyFont="1" applyBorder="1" applyAlignment="1">
      <alignment horizontal="center" vertical="center"/>
    </xf>
    <xf numFmtId="2" fontId="7" fillId="0" borderId="2" xfId="0" applyNumberFormat="1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9" fillId="4" borderId="3" xfId="0" applyFont="1" applyFill="1" applyBorder="1" applyAlignment="1">
      <alignment horizontal="center" vertical="center"/>
    </xf>
    <xf numFmtId="0" fontId="10" fillId="0" borderId="0" xfId="0" applyFont="1" applyAlignment="1">
      <alignment horizontal="center" vertical="center"/>
    </xf>
    <xf numFmtId="14" fontId="9" fillId="4" borderId="3" xfId="0" applyNumberFormat="1" applyFont="1" applyFill="1" applyBorder="1" applyAlignment="1">
      <alignment horizontal="center" vertical="center"/>
    </xf>
    <xf numFmtId="0" fontId="10" fillId="0" borderId="12" xfId="0" applyFont="1" applyBorder="1" applyAlignment="1">
      <alignment horizontal="center" vertical="center"/>
    </xf>
    <xf numFmtId="0" fontId="10" fillId="0" borderId="2" xfId="0" applyFont="1" applyBorder="1" applyAlignment="1">
      <alignment horizontal="center" vertical="center"/>
    </xf>
    <xf numFmtId="2" fontId="10" fillId="0" borderId="13" xfId="0" applyNumberFormat="1" applyFont="1" applyBorder="1" applyAlignment="1">
      <alignment horizontal="center" vertical="center"/>
    </xf>
    <xf numFmtId="0" fontId="10" fillId="0" borderId="14" xfId="0" applyFont="1" applyBorder="1" applyAlignment="1">
      <alignment horizontal="center" vertical="center"/>
    </xf>
    <xf numFmtId="0" fontId="10" fillId="0" borderId="15" xfId="0" applyFont="1" applyBorder="1" applyAlignment="1">
      <alignment horizontal="center" vertical="center"/>
    </xf>
    <xf numFmtId="2" fontId="10" fillId="0" borderId="16" xfId="0" applyNumberFormat="1" applyFont="1" applyBorder="1" applyAlignment="1">
      <alignment horizontal="center" vertical="center"/>
    </xf>
    <xf numFmtId="0" fontId="11" fillId="0" borderId="0" xfId="0" applyFont="1"/>
    <xf numFmtId="2" fontId="11" fillId="0" borderId="0" xfId="0" applyNumberFormat="1" applyFont="1"/>
    <xf numFmtId="0" fontId="9" fillId="0" borderId="17" xfId="0" applyFont="1" applyBorder="1" applyAlignment="1">
      <alignment horizontal="center" vertical="center"/>
    </xf>
    <xf numFmtId="0" fontId="9" fillId="4" borderId="19" xfId="0" applyFont="1" applyFill="1" applyBorder="1" applyAlignment="1">
      <alignment horizontal="center" vertical="center"/>
    </xf>
    <xf numFmtId="0" fontId="11" fillId="0" borderId="18" xfId="0" applyFont="1" applyBorder="1"/>
    <xf numFmtId="0" fontId="12" fillId="0" borderId="0" xfId="0" applyFont="1" applyAlignment="1">
      <alignment horizontal="center" vertical="center"/>
    </xf>
    <xf numFmtId="0" fontId="3" fillId="5" borderId="4" xfId="0" applyFont="1" applyFill="1" applyBorder="1" applyAlignment="1">
      <alignment horizontal="center" vertical="center"/>
    </xf>
    <xf numFmtId="0" fontId="3" fillId="5" borderId="5" xfId="0" applyFont="1" applyFill="1" applyBorder="1" applyAlignment="1">
      <alignment horizontal="center" vertical="center"/>
    </xf>
    <xf numFmtId="0" fontId="3" fillId="5" borderId="6" xfId="0" applyFont="1" applyFill="1" applyBorder="1" applyAlignment="1">
      <alignment horizontal="center" vertical="center"/>
    </xf>
    <xf numFmtId="0" fontId="3" fillId="5" borderId="7" xfId="0" applyFont="1" applyFill="1" applyBorder="1" applyAlignment="1">
      <alignment horizontal="center" vertical="center"/>
    </xf>
    <xf numFmtId="0" fontId="3" fillId="5" borderId="0" xfId="0" applyFont="1" applyFill="1" applyAlignment="1">
      <alignment horizontal="center" vertical="center"/>
    </xf>
    <xf numFmtId="0" fontId="3" fillId="5" borderId="8" xfId="0" applyFont="1" applyFill="1" applyBorder="1" applyAlignment="1">
      <alignment horizontal="center" vertical="center"/>
    </xf>
    <xf numFmtId="0" fontId="0" fillId="5" borderId="9" xfId="0" applyFill="1" applyBorder="1" applyAlignment="1">
      <alignment horizontal="center"/>
    </xf>
    <xf numFmtId="0" fontId="0" fillId="5" borderId="10" xfId="0" applyFill="1" applyBorder="1" applyAlignment="1">
      <alignment horizontal="center"/>
    </xf>
    <xf numFmtId="0" fontId="0" fillId="5" borderId="11" xfId="0" applyFill="1" applyBorder="1" applyAlignment="1">
      <alignment horizontal="center"/>
    </xf>
    <xf numFmtId="0" fontId="8" fillId="3" borderId="0" xfId="0" applyFont="1" applyFill="1" applyAlignment="1">
      <alignment horizontal="center" vertical="center" wrapText="1"/>
    </xf>
    <xf numFmtId="0" fontId="9" fillId="0" borderId="3" xfId="0" applyFont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1C7472"/>
      <color rgb="FF33CC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400050</xdr:colOff>
      <xdr:row>8</xdr:row>
      <xdr:rowOff>142875</xdr:rowOff>
    </xdr:from>
    <xdr:to>
      <xdr:col>11</xdr:col>
      <xdr:colOff>241300</xdr:colOff>
      <xdr:row>10</xdr:row>
      <xdr:rowOff>60325</xdr:rowOff>
    </xdr:to>
    <xdr:sp macro="[0]!Show_Form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860AC1C2-04D7-4064-ABE1-D7BB27E6DDD1}"/>
            </a:ext>
          </a:extLst>
        </xdr:cNvPr>
        <xdr:cNvSpPr/>
      </xdr:nvSpPr>
      <xdr:spPr>
        <a:xfrm>
          <a:off x="5276850" y="1676400"/>
          <a:ext cx="1670050" cy="298450"/>
        </a:xfrm>
        <a:prstGeom prst="roundRect">
          <a:avLst>
            <a:gd name="adj" fmla="val 50000"/>
          </a:avLst>
        </a:prstGeom>
        <a:solidFill>
          <a:srgbClr val="009999"/>
        </a:solidFill>
        <a:ln>
          <a:noFill/>
        </a:ln>
        <a:effectLst>
          <a:reflection blurRad="6350" stA="50000" endA="300" endPos="55500" dist="101600" dir="5400000" sy="-100000" algn="bl" rotWithShape="0"/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200">
              <a:latin typeface="Arial Rounded MT Bold" panose="020F0704030504030204" pitchFamily="34" charset="0"/>
            </a:rPr>
            <a:t>IMS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F6:O13"/>
  <sheetViews>
    <sheetView showGridLines="0" showRowColHeaders="0" tabSelected="1" topLeftCell="A2" zoomScaleNormal="100" workbookViewId="0">
      <selection activeCell="O4" sqref="O4"/>
    </sheetView>
  </sheetViews>
  <sheetFormatPr defaultRowHeight="14.4" x14ac:dyDescent="0.3"/>
  <cols>
    <col min="5" max="5" width="7.6640625" customWidth="1"/>
    <col min="15" max="15" width="13.88671875" customWidth="1"/>
    <col min="20" max="20" width="14.6640625" customWidth="1"/>
  </cols>
  <sheetData>
    <row r="6" spans="6:15" ht="15" customHeight="1" x14ac:dyDescent="0.3">
      <c r="F6" s="31" t="s">
        <v>32</v>
      </c>
      <c r="G6" s="32"/>
      <c r="H6" s="32"/>
      <c r="I6" s="32"/>
      <c r="J6" s="32"/>
      <c r="K6" s="32"/>
      <c r="L6" s="32"/>
      <c r="M6" s="32"/>
      <c r="N6" s="32"/>
      <c r="O6" s="33"/>
    </row>
    <row r="7" spans="6:15" ht="15" customHeight="1" x14ac:dyDescent="0.3">
      <c r="F7" s="34"/>
      <c r="G7" s="35"/>
      <c r="H7" s="35"/>
      <c r="I7" s="35"/>
      <c r="J7" s="35"/>
      <c r="K7" s="35"/>
      <c r="L7" s="35"/>
      <c r="M7" s="35"/>
      <c r="N7" s="35"/>
      <c r="O7" s="36"/>
    </row>
    <row r="8" spans="6:15" x14ac:dyDescent="0.3">
      <c r="F8" s="3"/>
      <c r="O8" s="4"/>
    </row>
    <row r="9" spans="6:15" x14ac:dyDescent="0.3">
      <c r="F9" s="3"/>
      <c r="O9" s="4"/>
    </row>
    <row r="10" spans="6:15" x14ac:dyDescent="0.3">
      <c r="F10" s="3"/>
      <c r="O10" s="4"/>
    </row>
    <row r="11" spans="6:15" x14ac:dyDescent="0.3">
      <c r="F11" s="3"/>
      <c r="O11" s="4"/>
    </row>
    <row r="12" spans="6:15" x14ac:dyDescent="0.3">
      <c r="F12" s="3"/>
      <c r="O12" s="4"/>
    </row>
    <row r="13" spans="6:15" x14ac:dyDescent="0.3">
      <c r="F13" s="37"/>
      <c r="G13" s="38"/>
      <c r="H13" s="38"/>
      <c r="I13" s="38"/>
      <c r="J13" s="38"/>
      <c r="K13" s="38"/>
      <c r="L13" s="38"/>
      <c r="M13" s="38"/>
      <c r="N13" s="38"/>
      <c r="O13" s="39"/>
    </row>
  </sheetData>
  <mergeCells count="2">
    <mergeCell ref="F6:O7"/>
    <mergeCell ref="F13:O13"/>
  </mergeCells>
  <pageMargins left="0.7" right="0.7" top="0.75" bottom="0.75" header="0.3" footer="0.3"/>
  <pageSetup paperSize="202" scale="12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D4"/>
  <sheetViews>
    <sheetView workbookViewId="0">
      <selection activeCell="A3" sqref="A3"/>
    </sheetView>
  </sheetViews>
  <sheetFormatPr defaultRowHeight="14.4" x14ac:dyDescent="0.3"/>
  <cols>
    <col min="1" max="1" width="11.33203125" customWidth="1"/>
    <col min="2" max="3" width="26.21875" customWidth="1"/>
    <col min="4" max="4" width="11" bestFit="1" customWidth="1"/>
  </cols>
  <sheetData>
    <row r="1" spans="1:4" x14ac:dyDescent="0.3">
      <c r="A1" s="1" t="s">
        <v>4</v>
      </c>
      <c r="B1" s="1" t="s">
        <v>1</v>
      </c>
      <c r="C1" s="1" t="s">
        <v>5</v>
      </c>
      <c r="D1" s="8" t="s">
        <v>9</v>
      </c>
    </row>
    <row r="2" spans="1:4" x14ac:dyDescent="0.3">
      <c r="A2">
        <v>100</v>
      </c>
      <c r="B2" t="s">
        <v>24</v>
      </c>
      <c r="C2">
        <v>30</v>
      </c>
      <c r="D2">
        <v>25</v>
      </c>
    </row>
    <row r="3" spans="1:4" x14ac:dyDescent="0.3">
      <c r="A3">
        <v>101</v>
      </c>
      <c r="B3" t="s">
        <v>25</v>
      </c>
      <c r="C3">
        <v>6</v>
      </c>
      <c r="D3">
        <v>5</v>
      </c>
    </row>
    <row r="4" spans="1:4" x14ac:dyDescent="0.3">
      <c r="A4">
        <v>102</v>
      </c>
      <c r="B4" t="s">
        <v>26</v>
      </c>
      <c r="C4">
        <v>1500</v>
      </c>
      <c r="D4">
        <v>1200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H15"/>
  <sheetViews>
    <sheetView zoomScale="70" zoomScaleNormal="70" workbookViewId="0">
      <selection activeCell="C13" sqref="C13:H15"/>
    </sheetView>
  </sheetViews>
  <sheetFormatPr defaultRowHeight="14.4" x14ac:dyDescent="0.3"/>
  <cols>
    <col min="1" max="1" width="13" bestFit="1" customWidth="1"/>
    <col min="2" max="2" width="14.77734375" style="5" customWidth="1"/>
    <col min="3" max="3" width="18.109375" bestFit="1" customWidth="1"/>
    <col min="4" max="4" width="9.109375" customWidth="1"/>
    <col min="5" max="5" width="7.77734375" customWidth="1"/>
    <col min="6" max="6" width="10.109375" customWidth="1"/>
    <col min="7" max="7" width="13.109375" bestFit="1" customWidth="1"/>
    <col min="8" max="8" width="9.109375" style="15"/>
  </cols>
  <sheetData>
    <row r="1" spans="1:8" x14ac:dyDescent="0.3">
      <c r="A1" s="1" t="s">
        <v>6</v>
      </c>
      <c r="B1" s="1" t="s">
        <v>0</v>
      </c>
      <c r="C1" s="1" t="s">
        <v>1</v>
      </c>
      <c r="D1" s="1" t="s">
        <v>14</v>
      </c>
      <c r="E1" s="1" t="s">
        <v>2</v>
      </c>
      <c r="F1" s="1" t="s">
        <v>3</v>
      </c>
      <c r="G1" s="8" t="s">
        <v>12</v>
      </c>
      <c r="H1" s="8" t="s">
        <v>15</v>
      </c>
    </row>
    <row r="2" spans="1:8" x14ac:dyDescent="0.3">
      <c r="A2">
        <v>4000</v>
      </c>
      <c r="B2" s="5">
        <v>45366</v>
      </c>
      <c r="C2" t="s">
        <v>24</v>
      </c>
      <c r="D2">
        <v>25</v>
      </c>
      <c r="E2">
        <v>7</v>
      </c>
      <c r="F2">
        <v>175</v>
      </c>
      <c r="G2" t="s">
        <v>19</v>
      </c>
      <c r="H2" s="15" t="s">
        <v>28</v>
      </c>
    </row>
    <row r="3" spans="1:8" x14ac:dyDescent="0.3">
      <c r="A3">
        <v>4000</v>
      </c>
      <c r="B3" s="5">
        <v>45366</v>
      </c>
      <c r="C3" t="s">
        <v>26</v>
      </c>
      <c r="D3">
        <v>1200</v>
      </c>
      <c r="E3">
        <v>4</v>
      </c>
      <c r="F3">
        <v>4800</v>
      </c>
      <c r="G3" t="s">
        <v>19</v>
      </c>
      <c r="H3" s="15" t="s">
        <v>28</v>
      </c>
    </row>
    <row r="4" spans="1:8" x14ac:dyDescent="0.3">
      <c r="A4">
        <v>4001</v>
      </c>
      <c r="B4" s="5">
        <v>45366</v>
      </c>
      <c r="C4" t="s">
        <v>25</v>
      </c>
      <c r="D4">
        <v>5</v>
      </c>
      <c r="E4">
        <v>10</v>
      </c>
      <c r="F4">
        <v>50</v>
      </c>
      <c r="G4" t="s">
        <v>19</v>
      </c>
      <c r="H4" s="15" t="s">
        <v>28</v>
      </c>
    </row>
    <row r="5" spans="1:8" x14ac:dyDescent="0.3">
      <c r="A5">
        <v>1000</v>
      </c>
      <c r="B5" s="5">
        <v>45366</v>
      </c>
      <c r="C5" t="s">
        <v>26</v>
      </c>
      <c r="D5">
        <v>1500</v>
      </c>
      <c r="E5">
        <v>2</v>
      </c>
      <c r="F5">
        <v>3000</v>
      </c>
      <c r="G5" t="s">
        <v>20</v>
      </c>
      <c r="H5" s="15">
        <v>600</v>
      </c>
    </row>
    <row r="6" spans="1:8" x14ac:dyDescent="0.3">
      <c r="A6">
        <v>1001</v>
      </c>
      <c r="B6" s="5">
        <v>45366</v>
      </c>
      <c r="C6" t="s">
        <v>25</v>
      </c>
      <c r="D6">
        <v>6</v>
      </c>
      <c r="E6">
        <v>3</v>
      </c>
      <c r="F6">
        <v>18</v>
      </c>
      <c r="G6" t="s">
        <v>20</v>
      </c>
      <c r="H6" s="15">
        <v>3</v>
      </c>
    </row>
    <row r="7" spans="1:8" x14ac:dyDescent="0.3">
      <c r="A7">
        <v>4002</v>
      </c>
      <c r="B7" s="5">
        <v>45366</v>
      </c>
      <c r="C7" t="s">
        <v>25</v>
      </c>
      <c r="D7">
        <v>5</v>
      </c>
      <c r="E7">
        <v>5</v>
      </c>
      <c r="F7">
        <v>25</v>
      </c>
      <c r="G7" t="s">
        <v>19</v>
      </c>
      <c r="H7" s="15" t="s">
        <v>28</v>
      </c>
    </row>
    <row r="8" spans="1:8" x14ac:dyDescent="0.3">
      <c r="A8">
        <v>4002</v>
      </c>
      <c r="B8" s="5">
        <v>45366</v>
      </c>
      <c r="C8" t="s">
        <v>26</v>
      </c>
      <c r="D8">
        <v>1200</v>
      </c>
      <c r="E8">
        <v>2</v>
      </c>
      <c r="F8">
        <v>2400</v>
      </c>
      <c r="G8" t="s">
        <v>19</v>
      </c>
      <c r="H8" s="15" t="s">
        <v>28</v>
      </c>
    </row>
    <row r="9" spans="1:8" x14ac:dyDescent="0.3">
      <c r="A9">
        <v>1002</v>
      </c>
      <c r="B9" s="5">
        <v>45366</v>
      </c>
      <c r="C9" t="s">
        <v>25</v>
      </c>
      <c r="D9">
        <v>6</v>
      </c>
      <c r="E9">
        <v>3</v>
      </c>
      <c r="F9">
        <v>18</v>
      </c>
      <c r="G9" t="s">
        <v>20</v>
      </c>
      <c r="H9" s="15">
        <v>3</v>
      </c>
    </row>
    <row r="10" spans="1:8" x14ac:dyDescent="0.3">
      <c r="A10">
        <v>1005</v>
      </c>
      <c r="B10" s="5">
        <v>45366</v>
      </c>
      <c r="C10" t="s">
        <v>25</v>
      </c>
      <c r="D10">
        <v>6</v>
      </c>
      <c r="E10">
        <v>2</v>
      </c>
      <c r="F10">
        <v>12</v>
      </c>
      <c r="G10" t="s">
        <v>20</v>
      </c>
      <c r="H10" s="15">
        <v>2</v>
      </c>
    </row>
    <row r="11" spans="1:8" x14ac:dyDescent="0.3">
      <c r="A11">
        <v>1003</v>
      </c>
      <c r="B11" s="5">
        <v>45366</v>
      </c>
      <c r="C11" t="s">
        <v>25</v>
      </c>
      <c r="D11">
        <v>6</v>
      </c>
      <c r="E11">
        <v>2</v>
      </c>
      <c r="F11">
        <v>12</v>
      </c>
      <c r="G11" t="s">
        <v>20</v>
      </c>
      <c r="H11" s="15">
        <v>2</v>
      </c>
    </row>
    <row r="12" spans="1:8" x14ac:dyDescent="0.3">
      <c r="A12">
        <v>1003</v>
      </c>
      <c r="B12" s="5">
        <v>45366</v>
      </c>
      <c r="C12" t="s">
        <v>24</v>
      </c>
      <c r="D12">
        <v>30</v>
      </c>
      <c r="E12">
        <v>3</v>
      </c>
      <c r="F12">
        <v>90</v>
      </c>
      <c r="G12" t="s">
        <v>20</v>
      </c>
      <c r="H12" s="15">
        <v>15</v>
      </c>
    </row>
    <row r="13" spans="1:8" x14ac:dyDescent="0.3">
      <c r="A13">
        <v>1004</v>
      </c>
      <c r="B13" s="5">
        <v>45366</v>
      </c>
      <c r="C13" t="s">
        <v>24</v>
      </c>
      <c r="D13">
        <v>30</v>
      </c>
      <c r="E13">
        <v>4</v>
      </c>
      <c r="F13">
        <v>120</v>
      </c>
      <c r="G13" t="s">
        <v>20</v>
      </c>
      <c r="H13" s="15">
        <v>20</v>
      </c>
    </row>
    <row r="14" spans="1:8" x14ac:dyDescent="0.3">
      <c r="A14">
        <v>1004</v>
      </c>
      <c r="B14" s="5">
        <v>45366</v>
      </c>
      <c r="C14" t="s">
        <v>26</v>
      </c>
      <c r="D14">
        <v>1500</v>
      </c>
      <c r="E14">
        <v>2</v>
      </c>
      <c r="F14">
        <v>3000</v>
      </c>
      <c r="G14" t="s">
        <v>20</v>
      </c>
      <c r="H14" s="15">
        <v>600</v>
      </c>
    </row>
    <row r="15" spans="1:8" x14ac:dyDescent="0.3">
      <c r="A15">
        <v>1004</v>
      </c>
      <c r="B15" s="5">
        <v>45366</v>
      </c>
      <c r="C15" t="s">
        <v>25</v>
      </c>
      <c r="D15">
        <v>6</v>
      </c>
      <c r="E15">
        <v>2</v>
      </c>
      <c r="F15">
        <v>12</v>
      </c>
      <c r="G15" t="s">
        <v>20</v>
      </c>
      <c r="H15" s="15">
        <v>2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1E3182-51C1-4B32-BE96-52AFBC00839C}">
  <sheetPr codeName="Sheet6"/>
  <dimension ref="A1:E4"/>
  <sheetViews>
    <sheetView workbookViewId="0">
      <selection sqref="A1:E4"/>
    </sheetView>
  </sheetViews>
  <sheetFormatPr defaultRowHeight="14.4" x14ac:dyDescent="0.3"/>
  <cols>
    <col min="1" max="1" width="26.21875" customWidth="1"/>
    <col min="2" max="2" width="9.88671875" bestFit="1" customWidth="1"/>
    <col min="3" max="3" width="7.33203125" customWidth="1"/>
    <col min="4" max="4" width="10.88671875" bestFit="1" customWidth="1"/>
    <col min="5" max="5" width="12.109375" bestFit="1" customWidth="1"/>
  </cols>
  <sheetData>
    <row r="1" spans="1:5" x14ac:dyDescent="0.3">
      <c r="A1" s="1" t="s">
        <v>1</v>
      </c>
      <c r="B1" s="1" t="s">
        <v>19</v>
      </c>
      <c r="C1" s="1" t="s">
        <v>20</v>
      </c>
      <c r="D1" s="1" t="s">
        <v>10</v>
      </c>
      <c r="E1" s="1" t="s">
        <v>11</v>
      </c>
    </row>
    <row r="2" spans="1:5" x14ac:dyDescent="0.3">
      <c r="A2" t="s">
        <v>24</v>
      </c>
      <c r="B2">
        <v>7</v>
      </c>
      <c r="C2">
        <v>7</v>
      </c>
      <c r="D2">
        <v>0</v>
      </c>
      <c r="E2">
        <v>0</v>
      </c>
    </row>
    <row r="3" spans="1:5" x14ac:dyDescent="0.3">
      <c r="A3" t="s">
        <v>25</v>
      </c>
      <c r="B3">
        <v>15</v>
      </c>
      <c r="C3">
        <v>12</v>
      </c>
      <c r="D3">
        <v>3</v>
      </c>
      <c r="E3">
        <v>15</v>
      </c>
    </row>
    <row r="4" spans="1:5" x14ac:dyDescent="0.3">
      <c r="A4" t="s">
        <v>26</v>
      </c>
      <c r="B4">
        <v>6</v>
      </c>
      <c r="C4">
        <v>4</v>
      </c>
      <c r="D4">
        <v>2</v>
      </c>
      <c r="E4">
        <v>2400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82193F-972B-456F-B6A4-531925C9975B}">
  <sheetPr codeName="Sheet8"/>
  <dimension ref="A1:H10"/>
  <sheetViews>
    <sheetView workbookViewId="0">
      <selection sqref="A1:K10"/>
    </sheetView>
  </sheetViews>
  <sheetFormatPr defaultRowHeight="14.4" x14ac:dyDescent="0.3"/>
  <sheetData>
    <row r="1" spans="1:8" x14ac:dyDescent="0.3">
      <c r="A1" s="1" t="s">
        <v>6</v>
      </c>
      <c r="B1" s="1" t="s">
        <v>0</v>
      </c>
      <c r="C1" s="1" t="s">
        <v>1</v>
      </c>
      <c r="D1" s="1" t="s">
        <v>14</v>
      </c>
      <c r="E1" s="1" t="s">
        <v>2</v>
      </c>
      <c r="F1" s="1" t="s">
        <v>3</v>
      </c>
      <c r="G1" s="8" t="s">
        <v>12</v>
      </c>
      <c r="H1" s="8" t="s">
        <v>15</v>
      </c>
    </row>
    <row r="2" spans="1:8" x14ac:dyDescent="0.3">
      <c r="A2">
        <v>1000</v>
      </c>
      <c r="B2" s="5">
        <v>45366</v>
      </c>
      <c r="C2" t="s">
        <v>26</v>
      </c>
      <c r="D2">
        <v>1500</v>
      </c>
      <c r="E2">
        <v>2</v>
      </c>
      <c r="F2">
        <v>3000</v>
      </c>
      <c r="G2" t="s">
        <v>20</v>
      </c>
      <c r="H2">
        <v>600</v>
      </c>
    </row>
    <row r="3" spans="1:8" x14ac:dyDescent="0.3">
      <c r="A3">
        <v>1001</v>
      </c>
      <c r="B3" s="5">
        <v>45366</v>
      </c>
      <c r="C3" t="s">
        <v>25</v>
      </c>
      <c r="D3">
        <v>6</v>
      </c>
      <c r="E3">
        <v>3</v>
      </c>
      <c r="F3">
        <v>18</v>
      </c>
      <c r="G3" t="s">
        <v>20</v>
      </c>
      <c r="H3">
        <v>3</v>
      </c>
    </row>
    <row r="4" spans="1:8" x14ac:dyDescent="0.3">
      <c r="A4">
        <v>1002</v>
      </c>
      <c r="B4" s="5">
        <v>45366</v>
      </c>
      <c r="C4" t="s">
        <v>25</v>
      </c>
      <c r="D4">
        <v>6</v>
      </c>
      <c r="E4">
        <v>3</v>
      </c>
      <c r="F4">
        <v>18</v>
      </c>
      <c r="G4" t="s">
        <v>20</v>
      </c>
      <c r="H4">
        <v>3</v>
      </c>
    </row>
    <row r="5" spans="1:8" x14ac:dyDescent="0.3">
      <c r="A5">
        <v>1003</v>
      </c>
      <c r="B5" s="5">
        <v>45366</v>
      </c>
      <c r="C5" t="s">
        <v>25</v>
      </c>
      <c r="D5">
        <v>6</v>
      </c>
      <c r="E5">
        <v>2</v>
      </c>
      <c r="F5">
        <v>12</v>
      </c>
      <c r="G5" t="s">
        <v>20</v>
      </c>
      <c r="H5">
        <v>2</v>
      </c>
    </row>
    <row r="6" spans="1:8" x14ac:dyDescent="0.3">
      <c r="A6">
        <v>1003</v>
      </c>
      <c r="B6" s="5">
        <v>45366</v>
      </c>
      <c r="C6" t="s">
        <v>24</v>
      </c>
      <c r="D6">
        <v>30</v>
      </c>
      <c r="E6">
        <v>3</v>
      </c>
      <c r="F6">
        <v>90</v>
      </c>
      <c r="G6" t="s">
        <v>20</v>
      </c>
      <c r="H6">
        <v>15</v>
      </c>
    </row>
    <row r="7" spans="1:8" x14ac:dyDescent="0.3">
      <c r="A7">
        <v>1004</v>
      </c>
      <c r="B7" s="5">
        <v>45366</v>
      </c>
      <c r="C7" t="s">
        <v>24</v>
      </c>
      <c r="D7">
        <v>30</v>
      </c>
      <c r="E7">
        <v>4</v>
      </c>
      <c r="F7">
        <v>120</v>
      </c>
      <c r="G7" t="s">
        <v>20</v>
      </c>
      <c r="H7">
        <v>20</v>
      </c>
    </row>
    <row r="8" spans="1:8" x14ac:dyDescent="0.3">
      <c r="A8">
        <v>1004</v>
      </c>
      <c r="B8" s="5">
        <v>45366</v>
      </c>
      <c r="C8" t="s">
        <v>26</v>
      </c>
      <c r="D8">
        <v>1500</v>
      </c>
      <c r="E8">
        <v>2</v>
      </c>
      <c r="F8">
        <v>3000</v>
      </c>
      <c r="G8" t="s">
        <v>20</v>
      </c>
      <c r="H8">
        <v>600</v>
      </c>
    </row>
    <row r="9" spans="1:8" x14ac:dyDescent="0.3">
      <c r="A9">
        <v>1004</v>
      </c>
      <c r="B9" s="5">
        <v>45366</v>
      </c>
      <c r="C9" t="s">
        <v>25</v>
      </c>
      <c r="D9">
        <v>6</v>
      </c>
      <c r="E9">
        <v>2</v>
      </c>
      <c r="F9">
        <v>12</v>
      </c>
      <c r="G9" t="s">
        <v>20</v>
      </c>
      <c r="H9">
        <v>2</v>
      </c>
    </row>
    <row r="10" spans="1:8" x14ac:dyDescent="0.3">
      <c r="A10">
        <v>1005</v>
      </c>
      <c r="B10" s="5">
        <v>45366</v>
      </c>
      <c r="C10" t="s">
        <v>25</v>
      </c>
      <c r="D10">
        <v>6</v>
      </c>
      <c r="E10">
        <v>2</v>
      </c>
      <c r="F10">
        <v>12</v>
      </c>
      <c r="G10" t="s">
        <v>20</v>
      </c>
      <c r="H10">
        <v>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F5"/>
  <sheetViews>
    <sheetView zoomScale="70" zoomScaleNormal="70" workbookViewId="0">
      <selection activeCell="A2" sqref="A2:F5"/>
    </sheetView>
  </sheetViews>
  <sheetFormatPr defaultRowHeight="14.4" x14ac:dyDescent="0.3"/>
  <cols>
    <col min="1" max="1" width="19.77734375" customWidth="1"/>
    <col min="2" max="3" width="13.6640625" customWidth="1"/>
    <col min="4" max="4" width="13.33203125" customWidth="1"/>
    <col min="5" max="5" width="12.77734375" customWidth="1"/>
    <col min="6" max="6" width="11.109375" customWidth="1"/>
  </cols>
  <sheetData>
    <row r="1" spans="1:6" x14ac:dyDescent="0.3">
      <c r="A1" s="2" t="s">
        <v>1</v>
      </c>
      <c r="B1" s="2" t="s">
        <v>14</v>
      </c>
      <c r="C1" s="2" t="s">
        <v>2</v>
      </c>
      <c r="D1" s="2" t="s">
        <v>3</v>
      </c>
      <c r="E1" s="9" t="s">
        <v>12</v>
      </c>
      <c r="F1" s="9" t="s">
        <v>15</v>
      </c>
    </row>
    <row r="2" spans="1:6" x14ac:dyDescent="0.3">
      <c r="F2" s="15"/>
    </row>
    <row r="3" spans="1:6" x14ac:dyDescent="0.3">
      <c r="F3" s="15"/>
    </row>
    <row r="4" spans="1:6" x14ac:dyDescent="0.3">
      <c r="F4" s="15"/>
    </row>
    <row r="5" spans="1:6" x14ac:dyDescent="0.3">
      <c r="F5" s="15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29249E-809D-4197-A4E7-81C26359F088}">
  <sheetPr codeName="Sheet7"/>
  <dimension ref="B1:C9"/>
  <sheetViews>
    <sheetView workbookViewId="0">
      <selection activeCell="C14" sqref="C14"/>
    </sheetView>
  </sheetViews>
  <sheetFormatPr defaultRowHeight="14.4" x14ac:dyDescent="0.3"/>
  <cols>
    <col min="2" max="2" width="15.88671875" bestFit="1" customWidth="1"/>
    <col min="3" max="3" width="13" customWidth="1"/>
  </cols>
  <sheetData>
    <row r="1" spans="2:3" x14ac:dyDescent="0.3">
      <c r="B1" t="s">
        <v>16</v>
      </c>
      <c r="C1" s="10">
        <v>45292</v>
      </c>
    </row>
    <row r="2" spans="2:3" x14ac:dyDescent="0.3">
      <c r="B2" t="s">
        <v>17</v>
      </c>
      <c r="C2" s="10"/>
    </row>
    <row r="3" spans="2:3" x14ac:dyDescent="0.3">
      <c r="C3" s="11"/>
    </row>
    <row r="4" spans="2:3" x14ac:dyDescent="0.3">
      <c r="B4" s="12" t="s">
        <v>18</v>
      </c>
      <c r="C4" s="12" t="s">
        <v>13</v>
      </c>
    </row>
    <row r="5" spans="2:3" x14ac:dyDescent="0.3">
      <c r="B5" s="13" t="s">
        <v>19</v>
      </c>
      <c r="C5" s="30">
        <f>SUMIFS(Sales!F:F,Sales!G:G,B5)</f>
        <v>7450</v>
      </c>
    </row>
    <row r="6" spans="2:3" x14ac:dyDescent="0.3">
      <c r="B6" s="13" t="s">
        <v>20</v>
      </c>
      <c r="C6" s="30">
        <f>SUMIFS(Sales!F:F,Sales!G:G,B6)</f>
        <v>6282</v>
      </c>
    </row>
    <row r="7" spans="2:3" x14ac:dyDescent="0.3">
      <c r="B7" s="13" t="s">
        <v>15</v>
      </c>
      <c r="C7" s="30">
        <f>SUM(Sales!H:H)</f>
        <v>1247</v>
      </c>
    </row>
    <row r="8" spans="2:3" x14ac:dyDescent="0.3">
      <c r="B8" s="13" t="s">
        <v>21</v>
      </c>
      <c r="C8" s="13">
        <f>SUM(Inventory!D:D)</f>
        <v>5</v>
      </c>
    </row>
    <row r="9" spans="2:3" x14ac:dyDescent="0.3">
      <c r="B9" s="13" t="s">
        <v>22</v>
      </c>
      <c r="C9" s="14">
        <f>SUM(Inventory!E:E)</f>
        <v>2415</v>
      </c>
    </row>
  </sheetData>
  <pageMargins left="0.7" right="0.7" top="0.75" bottom="0.75" header="0.3" footer="0.3"/>
  <pageSetup orientation="portrait" horizontalDpi="4294967295" verticalDpi="4294967295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pageSetUpPr fitToPage="1"/>
  </sheetPr>
  <dimension ref="A1:E31"/>
  <sheetViews>
    <sheetView topLeftCell="A22" zoomScale="90" zoomScaleNormal="90" zoomScalePageLayoutView="70" workbookViewId="0">
      <selection activeCell="I23" sqref="I23"/>
    </sheetView>
  </sheetViews>
  <sheetFormatPr defaultColWidth="9.109375" defaultRowHeight="21" x14ac:dyDescent="0.4"/>
  <cols>
    <col min="1" max="1" width="8.88671875" style="7" bestFit="1" customWidth="1"/>
    <col min="2" max="2" width="29" style="7" bestFit="1" customWidth="1"/>
    <col min="3" max="3" width="14.77734375" style="7" bestFit="1" customWidth="1"/>
    <col min="4" max="4" width="27.109375" style="7" bestFit="1" customWidth="1"/>
    <col min="5" max="5" width="16.33203125" style="7" bestFit="1" customWidth="1"/>
    <col min="6" max="16384" width="9.109375" style="7"/>
  </cols>
  <sheetData>
    <row r="1" spans="1:5" ht="84" customHeight="1" x14ac:dyDescent="0.4">
      <c r="A1" s="40" t="s">
        <v>23</v>
      </c>
      <c r="B1" s="40"/>
      <c r="C1" s="40"/>
      <c r="D1" s="40"/>
      <c r="E1" s="40"/>
    </row>
    <row r="3" spans="1:5" x14ac:dyDescent="0.4">
      <c r="A3" s="6"/>
      <c r="B3" s="6"/>
      <c r="C3" s="6"/>
      <c r="D3" s="6"/>
      <c r="E3" s="6"/>
    </row>
    <row r="4" spans="1:5" ht="23.4" x14ac:dyDescent="0.4">
      <c r="A4" s="41" t="s">
        <v>6</v>
      </c>
      <c r="B4" s="41"/>
      <c r="C4" s="16">
        <v>1004</v>
      </c>
      <c r="D4" s="17"/>
      <c r="E4" s="17"/>
    </row>
    <row r="5" spans="1:5" ht="23.4" x14ac:dyDescent="0.4">
      <c r="A5" s="41" t="s">
        <v>0</v>
      </c>
      <c r="B5" s="41"/>
      <c r="C5" s="18">
        <v>45366</v>
      </c>
      <c r="D5" s="17"/>
      <c r="E5" s="17"/>
    </row>
    <row r="6" spans="1:5" ht="23.4" x14ac:dyDescent="0.4">
      <c r="A6" s="17"/>
      <c r="B6" s="17"/>
      <c r="C6" s="17"/>
      <c r="D6" s="17"/>
      <c r="E6" s="17"/>
    </row>
    <row r="7" spans="1:5" ht="23.4" x14ac:dyDescent="0.4">
      <c r="A7" s="16" t="s">
        <v>27</v>
      </c>
      <c r="B7" s="16" t="s">
        <v>1</v>
      </c>
      <c r="C7" s="16" t="s">
        <v>14</v>
      </c>
      <c r="D7" s="16" t="s">
        <v>2</v>
      </c>
      <c r="E7" s="16" t="s">
        <v>3</v>
      </c>
    </row>
    <row r="8" spans="1:5" ht="23.4" x14ac:dyDescent="0.4">
      <c r="A8" s="19">
        <v>1</v>
      </c>
      <c r="B8" s="20" t="s">
        <v>24</v>
      </c>
      <c r="C8" s="20">
        <v>30</v>
      </c>
      <c r="D8" s="20">
        <v>4</v>
      </c>
      <c r="E8" s="21">
        <v>120</v>
      </c>
    </row>
    <row r="9" spans="1:5" ht="23.4" x14ac:dyDescent="0.4">
      <c r="A9" s="19">
        <v>2</v>
      </c>
      <c r="B9" s="20" t="s">
        <v>26</v>
      </c>
      <c r="C9" s="20">
        <v>1500</v>
      </c>
      <c r="D9" s="20">
        <v>2</v>
      </c>
      <c r="E9" s="21">
        <v>3000</v>
      </c>
    </row>
    <row r="10" spans="1:5" ht="23.4" x14ac:dyDescent="0.4">
      <c r="A10" s="19">
        <v>3</v>
      </c>
      <c r="B10" s="20" t="s">
        <v>25</v>
      </c>
      <c r="C10" s="20">
        <v>6</v>
      </c>
      <c r="D10" s="20">
        <v>2</v>
      </c>
      <c r="E10" s="21">
        <v>12</v>
      </c>
    </row>
    <row r="11" spans="1:5" ht="23.4" x14ac:dyDescent="0.4">
      <c r="A11" s="19"/>
      <c r="B11" s="20"/>
      <c r="C11" s="20"/>
      <c r="D11" s="20"/>
      <c r="E11" s="21"/>
    </row>
    <row r="12" spans="1:5" ht="23.4" x14ac:dyDescent="0.4">
      <c r="A12" s="19"/>
      <c r="B12" s="20"/>
      <c r="C12" s="20"/>
      <c r="D12" s="20"/>
      <c r="E12" s="21"/>
    </row>
    <row r="13" spans="1:5" ht="23.4" x14ac:dyDescent="0.4">
      <c r="A13" s="19"/>
      <c r="B13" s="20"/>
      <c r="C13" s="20"/>
      <c r="D13" s="20"/>
      <c r="E13" s="21"/>
    </row>
    <row r="14" spans="1:5" ht="23.4" x14ac:dyDescent="0.4">
      <c r="A14" s="19"/>
      <c r="B14" s="20"/>
      <c r="C14" s="20"/>
      <c r="D14" s="20"/>
      <c r="E14" s="21"/>
    </row>
    <row r="15" spans="1:5" ht="23.4" x14ac:dyDescent="0.4">
      <c r="A15" s="19"/>
      <c r="B15" s="20"/>
      <c r="C15" s="20"/>
      <c r="D15" s="20"/>
      <c r="E15" s="21"/>
    </row>
    <row r="16" spans="1:5" ht="23.4" x14ac:dyDescent="0.4">
      <c r="A16" s="19"/>
      <c r="B16" s="20"/>
      <c r="C16" s="20"/>
      <c r="D16" s="20"/>
      <c r="E16" s="21"/>
    </row>
    <row r="17" spans="1:5" ht="23.4" x14ac:dyDescent="0.4">
      <c r="A17" s="19"/>
      <c r="B17" s="20"/>
      <c r="C17" s="20"/>
      <c r="D17" s="20"/>
      <c r="E17" s="21"/>
    </row>
    <row r="18" spans="1:5" ht="23.4" x14ac:dyDescent="0.4">
      <c r="A18" s="19"/>
      <c r="B18" s="20"/>
      <c r="C18" s="20"/>
      <c r="D18" s="20"/>
      <c r="E18" s="21"/>
    </row>
    <row r="19" spans="1:5" ht="23.4" x14ac:dyDescent="0.4">
      <c r="A19" s="19"/>
      <c r="B19" s="20"/>
      <c r="C19" s="20"/>
      <c r="D19" s="20"/>
      <c r="E19" s="21"/>
    </row>
    <row r="20" spans="1:5" ht="23.4" x14ac:dyDescent="0.4">
      <c r="A20" s="19"/>
      <c r="B20" s="20"/>
      <c r="C20" s="20"/>
      <c r="D20" s="20"/>
      <c r="E20" s="21"/>
    </row>
    <row r="21" spans="1:5" ht="23.4" x14ac:dyDescent="0.4">
      <c r="A21" s="19"/>
      <c r="B21" s="20"/>
      <c r="C21" s="20"/>
      <c r="D21" s="20"/>
      <c r="E21" s="21"/>
    </row>
    <row r="22" spans="1:5" ht="23.4" x14ac:dyDescent="0.4">
      <c r="A22" s="19"/>
      <c r="B22" s="20"/>
      <c r="C22" s="20"/>
      <c r="D22" s="20"/>
      <c r="E22" s="21"/>
    </row>
    <row r="23" spans="1:5" ht="23.4" x14ac:dyDescent="0.4">
      <c r="A23" s="19"/>
      <c r="B23" s="20"/>
      <c r="C23" s="20"/>
      <c r="D23" s="20"/>
      <c r="E23" s="21"/>
    </row>
    <row r="24" spans="1:5" ht="23.4" x14ac:dyDescent="0.4">
      <c r="A24" s="19"/>
      <c r="B24" s="20"/>
      <c r="C24" s="20"/>
      <c r="D24" s="20"/>
      <c r="E24" s="21"/>
    </row>
    <row r="25" spans="1:5" ht="23.4" x14ac:dyDescent="0.4">
      <c r="A25" s="19"/>
      <c r="B25" s="20"/>
      <c r="C25" s="20"/>
      <c r="D25" s="20"/>
      <c r="E25" s="21"/>
    </row>
    <row r="26" spans="1:5" ht="23.4" x14ac:dyDescent="0.4">
      <c r="A26" s="22"/>
      <c r="B26" s="23"/>
      <c r="C26" s="23"/>
      <c r="D26" s="23"/>
      <c r="E26" s="24"/>
    </row>
    <row r="27" spans="1:5" ht="23.4" x14ac:dyDescent="0.45">
      <c r="A27" s="25"/>
      <c r="B27" s="25"/>
      <c r="C27" s="25"/>
      <c r="D27" s="25"/>
      <c r="E27" s="26"/>
    </row>
    <row r="28" spans="1:5" ht="23.4" x14ac:dyDescent="0.45">
      <c r="A28" s="25"/>
      <c r="B28" s="25"/>
      <c r="C28" s="25"/>
      <c r="D28" s="25"/>
      <c r="E28" s="26"/>
    </row>
    <row r="29" spans="1:5" ht="23.4" x14ac:dyDescent="0.45">
      <c r="A29" s="27" t="s">
        <v>7</v>
      </c>
      <c r="B29" s="28">
        <f>SUM(D8:D26)</f>
        <v>8</v>
      </c>
      <c r="C29" s="29"/>
      <c r="D29" s="27" t="s">
        <v>8</v>
      </c>
      <c r="E29" s="28">
        <f>SUM(E8:E26)</f>
        <v>3132</v>
      </c>
    </row>
    <row r="30" spans="1:5" ht="23.4" x14ac:dyDescent="0.4">
      <c r="D30" s="27" t="s">
        <v>29</v>
      </c>
      <c r="E30" s="28" t="s">
        <v>31</v>
      </c>
    </row>
    <row r="31" spans="1:5" ht="23.4" x14ac:dyDescent="0.4">
      <c r="D31" s="27" t="s">
        <v>30</v>
      </c>
      <c r="E31" s="28">
        <v>368</v>
      </c>
    </row>
  </sheetData>
  <mergeCells count="3">
    <mergeCell ref="A1:E1"/>
    <mergeCell ref="A4:B4"/>
    <mergeCell ref="A5:B5"/>
  </mergeCells>
  <pageMargins left="0.25" right="0.25" top="0.1767857142857143" bottom="0.46160714285714288" header="0.05" footer="0.3"/>
  <pageSetup paperSize="202" scale="97" orientation="portrait" horizontalDpi="203" verticalDpi="203" r:id="rId1"/>
  <headerFooter scaleWithDoc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2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Setting</vt:lpstr>
      <vt:lpstr>Product_Master</vt:lpstr>
      <vt:lpstr>Sales</vt:lpstr>
      <vt:lpstr>Inventory</vt:lpstr>
      <vt:lpstr>Sales_Display</vt:lpstr>
      <vt:lpstr>Data</vt:lpstr>
      <vt:lpstr>Report</vt:lpstr>
      <vt:lpstr>Invoice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Mutaher Ijaz</dc:creator>
  <cp:lastModifiedBy>Mutaher</cp:lastModifiedBy>
  <cp:lastPrinted>2024-03-15T16:20:36Z</cp:lastPrinted>
  <dcterms:created xsi:type="dcterms:W3CDTF">2015-06-05T18:17:20Z</dcterms:created>
  <dcterms:modified xsi:type="dcterms:W3CDTF">2024-08-21T16:41:14Z</dcterms:modified>
</cp:coreProperties>
</file>